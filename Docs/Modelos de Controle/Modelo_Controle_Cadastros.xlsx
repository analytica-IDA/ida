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VEREIRO 2026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<sst xmlns="http://schemas.openxmlformats.org/spreadsheetml/2006/main" count="14" uniqueCount="14">
  <si>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RELÁTORIO DE RESULTADOS - TRÁFEGO PAGO </t>
  </si>
  <si>
    <t>VENDEDORES</t>
  </si>
  <si>
    <t>ATENDIMENTO</t>
  </si>
  <si>
    <t>Cliques no Link (Meta Ads / Google Ads)</t>
  </si>
  <si>
    <t>Cadastros</t>
  </si>
  <si>
    <t>Taxa de Conversão</t>
  </si>
  <si>
    <t>Custo Real por Resultado</t>
  </si>
  <si>
    <t>Ticket Médio</t>
  </si>
  <si>
    <t>Faturamento Total</t>
  </si>
  <si>
    <t>Investimentos</t>
  </si>
  <si>
    <t>Investimento Meta</t>
  </si>
  <si>
    <t>Investimento Google</t>
  </si>
  <si>
    <t>Investimento Total</t>
  </si>
  <si>
    <t>ROAS(X)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</si>
</sst>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FFFFFF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9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9" fillId="6" fontId="1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2" fillId="6" fontId="4" numFmtId="10" xfId="0" applyAlignment="1" applyBorder="1" applyFont="1" applyNumberFormat="1">
      <alignment horizontal="center" readingOrder="0" shrinkToFit="0" vertical="center" wrapText="1"/>
    </xf>
    <xf borderId="11" fillId="6" fontId="1" numFmtId="164" xfId="0" applyAlignment="1" applyBorder="1" applyFont="1" applyNumberFormat="1">
      <alignment horizontal="center" readingOrder="0" shrinkToFit="0" vertical="center" wrapText="1"/>
    </xf>
    <xf borderId="12" fillId="6" fontId="4" numFmtId="164" xfId="0" applyAlignment="1" applyBorder="1" applyFont="1" applyNumberFormat="1">
      <alignment horizontal="center" readingOrder="0" shrinkToFit="0" vertical="center" wrapText="1"/>
    </xf>
    <xf borderId="12" fillId="6" fontId="5" numFmtId="164" xfId="0" applyAlignment="1" applyBorder="1" applyFont="1" applyNumberFormat="1">
      <alignment horizontal="center" readingOrder="0" shrinkToFit="0" vertical="center" wrapText="1"/>
    </xf>
    <xf borderId="12" fillId="5" fontId="4" numFmtId="164" xfId="0" applyAlignment="1" applyBorder="1" applyFont="1" applyNumberFormat="1">
      <alignment horizontal="center" readingOrder="0" shrinkToFit="0" vertical="center" wrapText="1"/>
    </xf>
    <xf borderId="9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12" fillId="5" fontId="1" numFmtId="164" xfId="0" applyAlignment="1" applyBorder="1" applyFont="1" applyNumberForma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1238250</xdr:colOff>
      <xdr:row>0</xdr:row>
      <xdr:rowOff>66675</xdr:rowOff>
    </xdr:from>
    <xdr:ext cx="3143250" cy="24003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>
      <c r="A14" s="12" t="s">
        <v>1</v>
      </c>
      <c r="B14" s="13" t="s">
        <v>2</v>
      </c>
      <c r="C14" s="2"/>
      <c r="D14" s="3"/>
    </row>
    <row r="15" ht="17.25" customHeight="1">
      <c r="A15" s="14"/>
      <c r="B15" s="7"/>
      <c r="C15" s="8"/>
      <c r="D15" s="9"/>
    </row>
    <row r="16">
      <c r="A16" s="15" t="s">
        <v>3</v>
      </c>
      <c r="B16" s="16">
        <v>3105.0</v>
      </c>
      <c r="C16" s="2"/>
      <c r="D16" s="3"/>
    </row>
    <row r="17">
      <c r="A17" s="14"/>
      <c r="B17" s="7"/>
      <c r="C17" s="8"/>
      <c r="D17" s="9"/>
    </row>
    <row r="18" ht="33.0" customHeight="1">
      <c r="A18" s="17" t="s">
        <v>4</v>
      </c>
      <c r="B18" s="18">
        <v>318.0</v>
      </c>
      <c r="C18" s="19"/>
      <c r="D18" s="20"/>
    </row>
    <row r="19" ht="30.0" customHeight="1">
      <c r="A19" s="17" t="s">
        <v>5</v>
      </c>
      <c r="B19" s="21">
        <f>B18/B16</f>
        <v>0.1024154589</v>
      </c>
      <c r="C19" s="19"/>
      <c r="D19" s="20"/>
    </row>
    <row r="20" ht="35.25" customHeight="1">
      <c r="A20" s="22" t="s">
        <v>6</v>
      </c>
      <c r="B20" s="23">
        <f>B29/B18</f>
        <v>0.6761006289</v>
      </c>
      <c r="C20" s="19"/>
      <c r="D20" s="20"/>
    </row>
    <row r="21" ht="35.25" customHeight="1">
      <c r="A21" s="22" t="s">
        <v>7</v>
      </c>
      <c r="B21" s="24">
        <v>30.0</v>
      </c>
      <c r="C21" s="19"/>
      <c r="D21" s="20"/>
    </row>
    <row r="22" ht="28.5" customHeight="1">
      <c r="A22" s="22" t="s">
        <v>8</v>
      </c>
      <c r="B22" s="25">
        <f>B18*B21</f>
        <v>9540</v>
      </c>
      <c r="C22" s="19"/>
      <c r="D22" s="20"/>
    </row>
    <row r="23">
      <c r="A23" s="26" t="s">
        <v>9</v>
      </c>
      <c r="B23" s="27"/>
      <c r="C23" s="2"/>
      <c r="D23" s="3"/>
    </row>
    <row r="24" ht="1.5" customHeight="1">
      <c r="A24" s="14"/>
      <c r="B24" s="7"/>
      <c r="C24" s="8"/>
      <c r="D24" s="9"/>
    </row>
    <row r="25" ht="23.25" customHeight="1">
      <c r="A25" s="28" t="s">
        <v>10</v>
      </c>
      <c r="B25" s="29">
        <v>215.0</v>
      </c>
      <c r="C25" s="2"/>
      <c r="D25" s="3"/>
    </row>
    <row r="26" ht="11.25" customHeight="1">
      <c r="A26" s="14"/>
      <c r="B26" s="7"/>
      <c r="C26" s="8"/>
      <c r="D26" s="9"/>
    </row>
    <row r="27">
      <c r="A27" s="15" t="s">
        <v>11</v>
      </c>
      <c r="B27" s="30">
        <v>0.0</v>
      </c>
      <c r="C27" s="2"/>
      <c r="D27" s="3"/>
    </row>
    <row r="28" ht="15.75" customHeight="1">
      <c r="A28" s="14"/>
      <c r="B28" s="7"/>
      <c r="C28" s="8"/>
      <c r="D28" s="9"/>
    </row>
    <row r="29" ht="19.5" customHeight="1">
      <c r="A29" s="17" t="s">
        <v>12</v>
      </c>
      <c r="B29" s="31">
        <f>B27+B25</f>
        <v>215</v>
      </c>
      <c r="C29" s="19"/>
      <c r="D29" s="20"/>
    </row>
    <row r="30">
      <c r="A30" s="28" t="s">
        <v>13</v>
      </c>
      <c r="B30" s="32">
        <f>B22:C22/B29:C29</f>
        <v>44.37209302</v>
      </c>
      <c r="C30" s="2"/>
      <c r="D30" s="3"/>
    </row>
    <row r="31" ht="14.25" customHeight="1">
      <c r="A31" s="14"/>
      <c r="B31" s="7"/>
      <c r="C31" s="8"/>
      <c r="D31" s="9"/>
    </row>
    <row r="42" ht="20.25" customHeight="1"/>
  </sheetData>
  <mergeCells count="20">
    <mergeCell ref="A1:D10"/>
    <mergeCell ref="A11:D13"/>
    <mergeCell ref="A14:A15"/>
    <mergeCell ref="B14:D15"/>
    <mergeCell ref="A16:A17"/>
    <mergeCell ref="B16:D17"/>
    <mergeCell ref="B18:D18"/>
    <mergeCell ref="A25:A26"/>
    <mergeCell ref="A27:A28"/>
    <mergeCell ref="A30:A31"/>
    <mergeCell ref="B27:D28"/>
    <mergeCell ref="B29:D29"/>
    <mergeCell ref="B30:D31"/>
    <mergeCell ref="B19:D19"/>
    <mergeCell ref="B20:D20"/>
    <mergeCell ref="B21:D21"/>
    <mergeCell ref="B22:D22"/>
    <mergeCell ref="A23:A24"/>
    <mergeCell ref="B23:D24"/>
    <mergeCell ref="B25:D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