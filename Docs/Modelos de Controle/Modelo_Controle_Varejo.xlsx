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RO - 2025" sheetId="1" r:id="rId5"/>
    <sheet state="visible" name="DEZEMBRO - 2025" sheetId="2" r:id="rId6"/>
    <sheet state="visible" name="JANEIRO - 2026" sheetId="3" r:id="rId7"/>
    <sheet state="visible" name="FEVEREIRO - 2026" sheetId="4" r:id="rId8"/>
  </sheets>
  <definedNames/>
  <calcPr/>
</workbook>
</file>

<file path=xl/sharedStrings.xml><?xml version="1.0" encoding="utf-8"?>
<sst xmlns="http://schemas.openxmlformats.org/spreadsheetml/2006/main" count="72" uniqueCount="18">
  <si>
    <t xml:space="preserve">RELÁTORIO DE RESULTADOS - TRÁFEGO PAGO </t>
  </si>
  <si>
    <t>VENDEDORES</t>
  </si>
  <si>
    <t>KENNEDY</t>
  </si>
  <si>
    <t>VAGNER</t>
  </si>
  <si>
    <t>WLAD</t>
  </si>
  <si>
    <t>Atendimentos</t>
  </si>
  <si>
    <t>Fechamento</t>
  </si>
  <si>
    <t>Faturamento</t>
  </si>
  <si>
    <t>Faturamento Total</t>
  </si>
  <si>
    <t>Canal Entrada</t>
  </si>
  <si>
    <t>Instagram</t>
  </si>
  <si>
    <t xml:space="preserve">Facebook </t>
  </si>
  <si>
    <t>Google</t>
  </si>
  <si>
    <t>Indicação</t>
  </si>
  <si>
    <t>Investimento Meta</t>
  </si>
  <si>
    <t>Investimento Google</t>
  </si>
  <si>
    <t>Investimento Total</t>
  </si>
  <si>
    <t>ROAS(X)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</si>
</sst>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4.0"/>
      <color rgb="FFFFFFFF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9" fillId="4" fontId="4" numFmtId="0" xfId="0" applyAlignment="1" applyBorder="1" applyFill="1" applyFont="1">
      <alignment horizontal="center" readingOrder="0" vertical="center"/>
    </xf>
    <xf borderId="9" fillId="5" fontId="4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9" fillId="6" fontId="1" numFmtId="0" xfId="0" applyAlignment="1" applyBorder="1" applyFill="1" applyFont="1">
      <alignment horizontal="center" readingOrder="0" shrinkToFit="0" vertical="center" wrapText="1"/>
    </xf>
    <xf borderId="9" fillId="6" fontId="4" numFmtId="0" xfId="0" applyAlignment="1" applyBorder="1" applyFont="1">
      <alignment horizontal="center" readingOrder="0" shrinkToFit="0" vertical="center" wrapText="1"/>
    </xf>
    <xf borderId="9" fillId="7" fontId="1" numFmtId="0" xfId="0" applyAlignment="1" applyBorder="1" applyFill="1" applyFont="1">
      <alignment horizontal="center" readingOrder="0" shrinkToFit="0" vertical="center" wrapText="1"/>
    </xf>
    <xf borderId="11" fillId="7" fontId="4" numFmtId="0" xfId="0" applyAlignment="1" applyBorder="1" applyFont="1">
      <alignment horizontal="center" readingOrder="0" shrinkToFit="0" vertical="center" wrapText="1"/>
    </xf>
    <xf borderId="11" fillId="7" fontId="1" numFmtId="10" xfId="0" applyAlignment="1" applyBorder="1" applyFont="1" applyNumberFormat="1">
      <alignment horizontal="center" shrinkToFit="0" vertical="center" wrapText="1"/>
    </xf>
    <xf borderId="11" fillId="6" fontId="1" numFmtId="164" xfId="0" applyAlignment="1" applyBorder="1" applyFont="1" applyNumberFormat="1">
      <alignment horizontal="center" readingOrder="0" shrinkToFit="0" vertical="center" wrapText="1"/>
    </xf>
    <xf borderId="11" fillId="6" fontId="4" numFmtId="164" xfId="0" applyAlignment="1" applyBorder="1" applyFont="1" applyNumberFormat="1">
      <alignment horizontal="center" readingOrder="0" shrinkToFit="0" vertical="center" wrapText="1"/>
    </xf>
    <xf borderId="12" fillId="5" fontId="4" numFmtId="164" xfId="0" applyAlignment="1" applyBorder="1" applyFont="1" applyNumberFormat="1">
      <alignment horizontal="center" readingOrder="0" shrinkToFit="0" vertical="center" wrapText="1"/>
    </xf>
    <xf borderId="13" fillId="0" fontId="2" numFmtId="0" xfId="0" applyBorder="1" applyFont="1"/>
    <xf borderId="11" fillId="8" fontId="4" numFmtId="164" xfId="0" applyAlignment="1" applyBorder="1" applyFill="1" applyFont="1" applyNumberForma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1" fillId="0" fontId="1" numFmtId="10" xfId="0" applyAlignment="1" applyBorder="1" applyFont="1" applyNumberFormat="1">
      <alignment horizontal="center" shrinkToFit="0" vertical="center" wrapText="1"/>
    </xf>
    <xf borderId="11" fillId="6" fontId="4" numFmtId="0" xfId="0" applyAlignment="1" applyBorder="1" applyFont="1">
      <alignment horizontal="center" readingOrder="0" shrinkToFit="0" vertical="center" wrapText="1"/>
    </xf>
    <xf borderId="11" fillId="6" fontId="4" numFmtId="0" xfId="0" applyAlignment="1" applyBorder="1" applyFont="1">
      <alignment horizontal="center" shrinkToFit="0" vertical="center" wrapText="1"/>
    </xf>
    <xf borderId="11" fillId="6" fontId="1" numFmtId="10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9" fillId="0" fontId="1" numFmtId="164" xfId="0" applyAlignment="1" applyBorder="1" applyFont="1" applyNumberFormat="1">
      <alignment horizontal="center" readingOrder="0" shrinkToFit="0" vertical="center" wrapText="1"/>
    </xf>
    <xf borderId="1" fillId="6" fontId="1" numFmtId="164" xfId="0" applyAlignment="1" applyBorder="1" applyFont="1" applyNumberFormat="1">
      <alignment horizontal="center" readingOrder="0" shrinkToFit="0" vertical="center" wrapText="1"/>
    </xf>
    <xf borderId="9" fillId="6" fontId="1" numFmtId="164" xfId="0" applyAlignment="1" applyBorder="1" applyFont="1" applyNumberFormat="1">
      <alignment horizontal="center" readingOrder="0" shrinkToFit="0" vertical="center" wrapText="1"/>
    </xf>
    <xf borderId="11" fillId="6" fontId="1" numFmtId="0" xfId="0" applyAlignment="1" applyBorder="1" applyFont="1">
      <alignment horizontal="center" readingOrder="0" shrinkToFit="0" vertical="center" wrapText="1"/>
    </xf>
    <xf borderId="12" fillId="5" fontId="1" numFmtId="164" xfId="0" applyAlignment="1" applyBorder="1" applyFont="1" applyNumberFormat="1">
      <alignment horizontal="center" readingOrder="0" shrinkToFit="0" vertical="center" wrapText="1"/>
    </xf>
    <xf borderId="11" fillId="4" fontId="1" numFmtId="164" xfId="0" applyAlignment="1" applyBorder="1" applyFont="1" applyNumberFormat="1">
      <alignment horizontal="center" readingOrder="0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9" fillId="0" fontId="1" numFmtId="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1238250</xdr:colOff>
      <xdr:row>0</xdr:row>
      <xdr:rowOff>66675</xdr:rowOff>
    </xdr:from>
    <xdr:ext cx="3143250" cy="2400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1238250</xdr:colOff>
      <xdr:row>0</xdr:row>
      <xdr:rowOff>66675</xdr:rowOff>
    </xdr:from>
    <xdr:ext cx="3143250" cy="2400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1238250</xdr:colOff>
      <xdr:row>0</xdr:row>
      <xdr:rowOff>66675</xdr:rowOff>
    </xdr:from>
    <xdr:ext cx="3143250" cy="2400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1238250</xdr:colOff>
      <xdr:row>0</xdr:row>
      <xdr:rowOff>66675</xdr:rowOff>
    </xdr:from>
    <xdr:ext cx="3143250" cy="2400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63"/>
    <col customWidth="1" min="3" max="3" width="21.13"/>
    <col customWidth="1" min="4" max="4" width="21.0"/>
  </cols>
  <sheetData>
    <row r="1" ht="9.75" customHeight="1">
      <c r="A1" s="1"/>
      <c r="B1" s="2"/>
      <c r="C1" s="2"/>
      <c r="D1" s="3"/>
    </row>
    <row r="2">
      <c r="A2" s="4"/>
      <c r="D2" s="5"/>
    </row>
    <row r="3">
      <c r="A3" s="4"/>
      <c r="D3" s="5"/>
    </row>
    <row r="4">
      <c r="A4" s="4"/>
      <c r="D4" s="5"/>
    </row>
    <row r="5">
      <c r="A5" s="4"/>
      <c r="D5" s="5"/>
    </row>
    <row r="6">
      <c r="A6" s="4"/>
      <c r="D6" s="5"/>
    </row>
    <row r="7">
      <c r="A7" s="4"/>
      <c r="D7" s="5"/>
    </row>
    <row r="8">
      <c r="A8" s="4"/>
      <c r="D8" s="5"/>
    </row>
    <row r="9" ht="21.75" customHeight="1">
      <c r="A9" s="4"/>
      <c r="D9" s="5"/>
      <c r="F9" s="6"/>
    </row>
    <row r="10" ht="11.25" customHeight="1">
      <c r="A10" s="7"/>
      <c r="B10" s="8"/>
      <c r="C10" s="8"/>
      <c r="D10" s="9"/>
    </row>
    <row r="11">
      <c r="A11" s="10" t="s">
        <v>0</v>
      </c>
      <c r="B11" s="2"/>
      <c r="C11" s="2"/>
      <c r="D11" s="3"/>
      <c r="F11" s="11"/>
    </row>
    <row r="12">
      <c r="A12" s="4"/>
      <c r="D12" s="5"/>
    </row>
    <row r="13" ht="9.75" customHeight="1">
      <c r="A13" s="7"/>
      <c r="B13" s="8"/>
      <c r="C13" s="8"/>
      <c r="D13" s="9"/>
    </row>
    <row r="14" ht="5.25" customHeight="1"/>
    <row r="15">
      <c r="A15" s="12" t="s">
        <v>1</v>
      </c>
      <c r="B15" s="13" t="s">
        <v>2</v>
      </c>
      <c r="C15" s="13" t="s">
        <v>3</v>
      </c>
      <c r="D15" s="12" t="s">
        <v>4</v>
      </c>
    </row>
    <row r="16" ht="17.25" customHeight="1">
      <c r="A16" s="14"/>
      <c r="B16" s="14"/>
      <c r="C16" s="14"/>
      <c r="D16" s="14"/>
    </row>
    <row r="17" ht="7.5" customHeight="1"/>
    <row r="18">
      <c r="A18" s="15" t="s">
        <v>5</v>
      </c>
      <c r="B18" s="16">
        <v>34.0</v>
      </c>
      <c r="C18" s="16">
        <v>38.0</v>
      </c>
      <c r="D18" s="16">
        <v>31.0</v>
      </c>
    </row>
    <row r="19" ht="15.0" customHeight="1">
      <c r="A19" s="14"/>
      <c r="B19" s="14"/>
      <c r="C19" s="14"/>
      <c r="D19" s="14"/>
    </row>
    <row r="20" ht="19.5" customHeight="1">
      <c r="A20" s="17" t="s">
        <v>6</v>
      </c>
      <c r="B20" s="18">
        <v>6.0</v>
      </c>
      <c r="C20" s="18">
        <v>3.0</v>
      </c>
      <c r="D20" s="18">
        <v>6.0</v>
      </c>
    </row>
    <row r="21" ht="20.25" customHeight="1">
      <c r="A21" s="14"/>
      <c r="B21" s="19">
        <f t="shared" ref="B21:D21" si="1">B20/B18</f>
        <v>0.1764705882</v>
      </c>
      <c r="C21" s="19">
        <f t="shared" si="1"/>
        <v>0.07894736842</v>
      </c>
      <c r="D21" s="19">
        <f t="shared" si="1"/>
        <v>0.1935483871</v>
      </c>
    </row>
    <row r="22" ht="35.25" customHeight="1">
      <c r="A22" s="20" t="s">
        <v>7</v>
      </c>
      <c r="B22" s="21">
        <v>28860.0</v>
      </c>
      <c r="C22" s="21">
        <v>15920.0</v>
      </c>
      <c r="D22" s="21">
        <v>4200.0</v>
      </c>
    </row>
    <row r="23" ht="28.5" customHeight="1">
      <c r="A23" s="20" t="s">
        <v>8</v>
      </c>
      <c r="B23" s="22">
        <f>B22+C22</f>
        <v>44780</v>
      </c>
      <c r="C23" s="23"/>
      <c r="D23" s="24">
        <f>D22</f>
        <v>4200</v>
      </c>
    </row>
    <row r="24">
      <c r="A24" s="25" t="s">
        <v>9</v>
      </c>
      <c r="B24" s="26"/>
      <c r="C24" s="2"/>
      <c r="D24" s="3"/>
    </row>
    <row r="25" ht="1.5" customHeight="1">
      <c r="A25" s="14"/>
      <c r="B25" s="7"/>
      <c r="C25" s="8"/>
      <c r="D25" s="9"/>
    </row>
    <row r="26" ht="30.0" customHeight="1">
      <c r="A26" s="27" t="s">
        <v>10</v>
      </c>
      <c r="B26" s="28">
        <v>2.0</v>
      </c>
      <c r="C26" s="28">
        <v>1.0</v>
      </c>
      <c r="D26" s="28">
        <v>1.0</v>
      </c>
    </row>
    <row r="27" ht="27.0" customHeight="1">
      <c r="A27" s="14"/>
      <c r="B27" s="29">
        <f t="shared" ref="B27:D27" si="2">B26/B20</f>
        <v>0.3333333333</v>
      </c>
      <c r="C27" s="29">
        <f t="shared" si="2"/>
        <v>0.3333333333</v>
      </c>
      <c r="D27" s="29">
        <f t="shared" si="2"/>
        <v>0.1666666667</v>
      </c>
    </row>
    <row r="28" ht="27.75" customHeight="1">
      <c r="A28" s="15" t="s">
        <v>11</v>
      </c>
      <c r="B28" s="30"/>
      <c r="C28" s="31"/>
      <c r="D28" s="30">
        <v>1.0</v>
      </c>
    </row>
    <row r="29" ht="26.25" customHeight="1">
      <c r="A29" s="14"/>
      <c r="B29" s="32">
        <f t="shared" ref="B29:D29" si="3">B28/B20</f>
        <v>0</v>
      </c>
      <c r="C29" s="32">
        <f t="shared" si="3"/>
        <v>0</v>
      </c>
      <c r="D29" s="32">
        <f t="shared" si="3"/>
        <v>0.1666666667</v>
      </c>
    </row>
    <row r="30" ht="27.75" customHeight="1">
      <c r="A30" s="27" t="s">
        <v>12</v>
      </c>
      <c r="B30" s="28">
        <v>3.0</v>
      </c>
      <c r="C30" s="28">
        <v>1.0</v>
      </c>
      <c r="D30" s="28">
        <v>2.0</v>
      </c>
    </row>
    <row r="31" ht="26.25" customHeight="1">
      <c r="A31" s="14"/>
      <c r="B31" s="29">
        <f t="shared" ref="B31:D31" si="4">B30/B20</f>
        <v>0.5</v>
      </c>
      <c r="C31" s="29">
        <f t="shared" si="4"/>
        <v>0.3333333333</v>
      </c>
      <c r="D31" s="29">
        <f t="shared" si="4"/>
        <v>0.3333333333</v>
      </c>
    </row>
    <row r="32" ht="30.75" customHeight="1">
      <c r="A32" s="15" t="s">
        <v>13</v>
      </c>
      <c r="B32" s="30">
        <v>1.0</v>
      </c>
      <c r="C32" s="30">
        <v>1.0</v>
      </c>
      <c r="D32" s="30">
        <v>2.0</v>
      </c>
    </row>
    <row r="33" ht="27.75" customHeight="1">
      <c r="A33" s="14"/>
      <c r="B33" s="32">
        <f t="shared" ref="B33:D33" si="5">B32/B20</f>
        <v>0.1666666667</v>
      </c>
      <c r="C33" s="32">
        <f t="shared" si="5"/>
        <v>0.3333333333</v>
      </c>
      <c r="D33" s="32">
        <f t="shared" si="5"/>
        <v>0.3333333333</v>
      </c>
    </row>
    <row r="34" ht="23.25" customHeight="1">
      <c r="A34" s="27" t="s">
        <v>14</v>
      </c>
      <c r="B34" s="33">
        <v>884.15</v>
      </c>
      <c r="C34" s="3"/>
      <c r="D34" s="34">
        <v>376.4</v>
      </c>
    </row>
    <row r="35" ht="11.25" customHeight="1">
      <c r="A35" s="14"/>
      <c r="B35" s="7"/>
      <c r="C35" s="9"/>
      <c r="D35" s="14"/>
    </row>
    <row r="36">
      <c r="A36" s="15" t="s">
        <v>15</v>
      </c>
      <c r="B36" s="35">
        <v>890.65</v>
      </c>
      <c r="C36" s="3"/>
      <c r="D36" s="36">
        <v>438.11</v>
      </c>
    </row>
    <row r="37" ht="15.75" customHeight="1">
      <c r="A37" s="14"/>
      <c r="B37" s="7"/>
      <c r="C37" s="9"/>
      <c r="D37" s="14"/>
    </row>
    <row r="38" ht="19.5" customHeight="1">
      <c r="A38" s="37" t="s">
        <v>16</v>
      </c>
      <c r="B38" s="38">
        <f>B36+B34</f>
        <v>1774.8</v>
      </c>
      <c r="C38" s="23"/>
      <c r="D38" s="39">
        <f>D36+D34</f>
        <v>814.51</v>
      </c>
    </row>
    <row r="39">
      <c r="A39" s="27" t="s">
        <v>17</v>
      </c>
      <c r="B39" s="40">
        <f>B23:C23/B38:C38</f>
        <v>25.23101195</v>
      </c>
      <c r="C39" s="3"/>
      <c r="D39" s="41">
        <f>D23/D38</f>
        <v>5.156474445</v>
      </c>
    </row>
    <row r="40" ht="14.25" customHeight="1">
      <c r="A40" s="14"/>
      <c r="B40" s="7"/>
      <c r="C40" s="9"/>
      <c r="D40" s="14"/>
    </row>
    <row r="51" ht="20.25" customHeight="1"/>
  </sheetData>
  <mergeCells count="28">
    <mergeCell ref="A1:D10"/>
    <mergeCell ref="A11:D13"/>
    <mergeCell ref="A15:A16"/>
    <mergeCell ref="B15:B16"/>
    <mergeCell ref="C15:C16"/>
    <mergeCell ref="D15:D16"/>
    <mergeCell ref="D18:D19"/>
    <mergeCell ref="A34:A35"/>
    <mergeCell ref="A36:A37"/>
    <mergeCell ref="A39:A40"/>
    <mergeCell ref="A18:A19"/>
    <mergeCell ref="A20:A21"/>
    <mergeCell ref="A24:A25"/>
    <mergeCell ref="A26:A27"/>
    <mergeCell ref="A28:A29"/>
    <mergeCell ref="A30:A31"/>
    <mergeCell ref="A32:A33"/>
    <mergeCell ref="B36:C37"/>
    <mergeCell ref="B38:C38"/>
    <mergeCell ref="B39:C40"/>
    <mergeCell ref="D39:D40"/>
    <mergeCell ref="B18:B19"/>
    <mergeCell ref="C18:C19"/>
    <mergeCell ref="B23:C23"/>
    <mergeCell ref="B24:D25"/>
    <mergeCell ref="B34:C35"/>
    <mergeCell ref="D34:D35"/>
    <mergeCell ref="D36:D3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63"/>
    <col customWidth="1" min="3" max="3" width="21.13"/>
    <col customWidth="1" min="4" max="4" width="21.0"/>
  </cols>
  <sheetData>
    <row r="1" ht="9.75" customHeight="1">
      <c r="A1" s="1"/>
      <c r="B1" s="2"/>
      <c r="C1" s="2"/>
      <c r="D1" s="3"/>
    </row>
    <row r="2">
      <c r="A2" s="4"/>
      <c r="D2" s="5"/>
    </row>
    <row r="3">
      <c r="A3" s="4"/>
      <c r="D3" s="5"/>
    </row>
    <row r="4">
      <c r="A4" s="4"/>
      <c r="D4" s="5"/>
    </row>
    <row r="5">
      <c r="A5" s="4"/>
      <c r="D5" s="5"/>
    </row>
    <row r="6">
      <c r="A6" s="4"/>
      <c r="D6" s="5"/>
    </row>
    <row r="7">
      <c r="A7" s="4"/>
      <c r="D7" s="5"/>
    </row>
    <row r="8">
      <c r="A8" s="4"/>
      <c r="D8" s="5"/>
    </row>
    <row r="9" ht="21.75" customHeight="1">
      <c r="A9" s="4"/>
      <c r="D9" s="5"/>
      <c r="F9" s="6"/>
    </row>
    <row r="10" ht="11.25" customHeight="1">
      <c r="A10" s="7"/>
      <c r="B10" s="8"/>
      <c r="C10" s="8"/>
      <c r="D10" s="9"/>
    </row>
    <row r="11">
      <c r="A11" s="10" t="s">
        <v>0</v>
      </c>
      <c r="B11" s="2"/>
      <c r="C11" s="2"/>
      <c r="D11" s="3"/>
      <c r="F11" s="11"/>
    </row>
    <row r="12">
      <c r="A12" s="4"/>
      <c r="D12" s="5"/>
    </row>
    <row r="13" ht="9.75" customHeight="1">
      <c r="A13" s="7"/>
      <c r="B13" s="8"/>
      <c r="C13" s="8"/>
      <c r="D13" s="9"/>
    </row>
    <row r="14" ht="5.25" customHeight="1"/>
    <row r="15">
      <c r="A15" s="12" t="s">
        <v>1</v>
      </c>
      <c r="B15" s="13" t="s">
        <v>2</v>
      </c>
      <c r="C15" s="13" t="s">
        <v>3</v>
      </c>
      <c r="D15" s="12" t="s">
        <v>4</v>
      </c>
    </row>
    <row r="16" ht="17.25" customHeight="1">
      <c r="A16" s="14"/>
      <c r="B16" s="14"/>
      <c r="C16" s="14"/>
      <c r="D16" s="14"/>
    </row>
    <row r="17" ht="7.5" customHeight="1"/>
    <row r="18">
      <c r="A18" s="15" t="s">
        <v>5</v>
      </c>
      <c r="B18" s="16">
        <v>33.0</v>
      </c>
      <c r="C18" s="16">
        <v>22.0</v>
      </c>
      <c r="D18" s="16">
        <v>23.0</v>
      </c>
    </row>
    <row r="19" ht="15.0" customHeight="1">
      <c r="A19" s="14"/>
      <c r="B19" s="14"/>
      <c r="C19" s="14"/>
      <c r="D19" s="14"/>
    </row>
    <row r="20" ht="19.5" customHeight="1">
      <c r="A20" s="17" t="s">
        <v>6</v>
      </c>
      <c r="B20" s="18">
        <v>2.0</v>
      </c>
      <c r="C20" s="18">
        <v>1.0</v>
      </c>
      <c r="D20" s="18">
        <v>4.0</v>
      </c>
    </row>
    <row r="21" ht="20.25" customHeight="1">
      <c r="A21" s="14"/>
      <c r="B21" s="19">
        <f t="shared" ref="B21:D21" si="1">B20/B18</f>
        <v>0.06060606061</v>
      </c>
      <c r="C21" s="19">
        <f t="shared" si="1"/>
        <v>0.04545454545</v>
      </c>
      <c r="D21" s="19">
        <f t="shared" si="1"/>
        <v>0.1739130435</v>
      </c>
    </row>
    <row r="22" ht="35.25" customHeight="1">
      <c r="A22" s="20" t="s">
        <v>7</v>
      </c>
      <c r="B22" s="21">
        <v>20300.0</v>
      </c>
      <c r="C22" s="21">
        <v>8000.0</v>
      </c>
      <c r="D22" s="21">
        <v>2800.0</v>
      </c>
    </row>
    <row r="23" ht="28.5" customHeight="1">
      <c r="A23" s="20" t="s">
        <v>8</v>
      </c>
      <c r="B23" s="22">
        <f>B22+C22</f>
        <v>28300</v>
      </c>
      <c r="C23" s="23"/>
      <c r="D23" s="24">
        <f>D22</f>
        <v>2800</v>
      </c>
    </row>
    <row r="24">
      <c r="A24" s="25" t="s">
        <v>9</v>
      </c>
      <c r="B24" s="26"/>
      <c r="C24" s="2"/>
      <c r="D24" s="3"/>
    </row>
    <row r="25" ht="1.5" customHeight="1">
      <c r="A25" s="14"/>
      <c r="B25" s="7"/>
      <c r="C25" s="8"/>
      <c r="D25" s="9"/>
    </row>
    <row r="26" ht="30.0" customHeight="1">
      <c r="A26" s="27" t="s">
        <v>10</v>
      </c>
      <c r="B26" s="28">
        <v>1.0</v>
      </c>
      <c r="C26" s="28">
        <v>0.0</v>
      </c>
      <c r="D26" s="28">
        <v>0.0</v>
      </c>
    </row>
    <row r="27" ht="27.0" customHeight="1">
      <c r="A27" s="14"/>
      <c r="B27" s="29">
        <f t="shared" ref="B27:D27" si="2">B26/B20</f>
        <v>0.5</v>
      </c>
      <c r="C27" s="29">
        <f t="shared" si="2"/>
        <v>0</v>
      </c>
      <c r="D27" s="29">
        <f t="shared" si="2"/>
        <v>0</v>
      </c>
    </row>
    <row r="28" ht="27.75" customHeight="1">
      <c r="A28" s="15" t="s">
        <v>11</v>
      </c>
      <c r="B28" s="30"/>
      <c r="C28" s="31"/>
      <c r="D28" s="31"/>
    </row>
    <row r="29" ht="26.25" customHeight="1">
      <c r="A29" s="14"/>
      <c r="B29" s="32">
        <f t="shared" ref="B29:D29" si="3">B28/B20</f>
        <v>0</v>
      </c>
      <c r="C29" s="32">
        <f t="shared" si="3"/>
        <v>0</v>
      </c>
      <c r="D29" s="32">
        <f t="shared" si="3"/>
        <v>0</v>
      </c>
    </row>
    <row r="30" ht="27.75" customHeight="1">
      <c r="A30" s="27" t="s">
        <v>12</v>
      </c>
      <c r="B30" s="28">
        <v>0.0</v>
      </c>
      <c r="C30" s="28">
        <v>1.0</v>
      </c>
      <c r="D30" s="28">
        <v>4.0</v>
      </c>
    </row>
    <row r="31" ht="26.25" customHeight="1">
      <c r="A31" s="14"/>
      <c r="B31" s="29">
        <f t="shared" ref="B31:D31" si="4">B30/B20</f>
        <v>0</v>
      </c>
      <c r="C31" s="29">
        <f t="shared" si="4"/>
        <v>1</v>
      </c>
      <c r="D31" s="29">
        <f t="shared" si="4"/>
        <v>1</v>
      </c>
    </row>
    <row r="32" ht="30.75" customHeight="1">
      <c r="A32" s="15" t="s">
        <v>13</v>
      </c>
      <c r="B32" s="30">
        <v>1.0</v>
      </c>
      <c r="C32" s="30">
        <v>0.0</v>
      </c>
      <c r="D32" s="30">
        <v>0.0</v>
      </c>
    </row>
    <row r="33" ht="27.75" customHeight="1">
      <c r="A33" s="14"/>
      <c r="B33" s="32">
        <f t="shared" ref="B33:D33" si="5">B32/B20</f>
        <v>0.5</v>
      </c>
      <c r="C33" s="32">
        <f t="shared" si="5"/>
        <v>0</v>
      </c>
      <c r="D33" s="32">
        <f t="shared" si="5"/>
        <v>0</v>
      </c>
    </row>
    <row r="34" ht="23.25" customHeight="1">
      <c r="A34" s="27" t="s">
        <v>14</v>
      </c>
      <c r="B34" s="33">
        <v>932.33</v>
      </c>
      <c r="C34" s="3"/>
      <c r="D34" s="34">
        <v>526.8</v>
      </c>
    </row>
    <row r="35" ht="11.25" customHeight="1">
      <c r="A35" s="14"/>
      <c r="B35" s="7"/>
      <c r="C35" s="9"/>
      <c r="D35" s="14"/>
    </row>
    <row r="36">
      <c r="A36" s="15" t="s">
        <v>15</v>
      </c>
      <c r="B36" s="35">
        <v>916.21</v>
      </c>
      <c r="C36" s="3"/>
      <c r="D36" s="36">
        <v>469.32</v>
      </c>
    </row>
    <row r="37" ht="15.75" customHeight="1">
      <c r="A37" s="14"/>
      <c r="B37" s="7"/>
      <c r="C37" s="9"/>
      <c r="D37" s="14"/>
    </row>
    <row r="38" ht="19.5" customHeight="1">
      <c r="A38" s="37" t="s">
        <v>16</v>
      </c>
      <c r="B38" s="38">
        <f>B36+B34</f>
        <v>1848.54</v>
      </c>
      <c r="C38" s="23"/>
      <c r="D38" s="39">
        <f>D36+D34</f>
        <v>996.12</v>
      </c>
    </row>
    <row r="39">
      <c r="A39" s="27" t="s">
        <v>17</v>
      </c>
      <c r="B39" s="40">
        <f>B23:C23/B38:C38</f>
        <v>15.30937929</v>
      </c>
      <c r="C39" s="3"/>
      <c r="D39" s="41">
        <f>D23/D38</f>
        <v>2.810906317</v>
      </c>
    </row>
    <row r="40" ht="14.25" customHeight="1">
      <c r="A40" s="14"/>
      <c r="B40" s="7"/>
      <c r="C40" s="9"/>
      <c r="D40" s="14"/>
    </row>
    <row r="51" ht="20.25" customHeight="1"/>
  </sheetData>
  <mergeCells count="28">
    <mergeCell ref="A1:D10"/>
    <mergeCell ref="A11:D13"/>
    <mergeCell ref="A15:A16"/>
    <mergeCell ref="B15:B16"/>
    <mergeCell ref="C15:C16"/>
    <mergeCell ref="D15:D16"/>
    <mergeCell ref="D18:D19"/>
    <mergeCell ref="A34:A35"/>
    <mergeCell ref="A36:A37"/>
    <mergeCell ref="A39:A40"/>
    <mergeCell ref="A18:A19"/>
    <mergeCell ref="A20:A21"/>
    <mergeCell ref="A24:A25"/>
    <mergeCell ref="A26:A27"/>
    <mergeCell ref="A28:A29"/>
    <mergeCell ref="A30:A31"/>
    <mergeCell ref="A32:A33"/>
    <mergeCell ref="B36:C37"/>
    <mergeCell ref="B38:C38"/>
    <mergeCell ref="B39:C40"/>
    <mergeCell ref="D39:D40"/>
    <mergeCell ref="B18:B19"/>
    <mergeCell ref="C18:C19"/>
    <mergeCell ref="B23:C23"/>
    <mergeCell ref="B24:D25"/>
    <mergeCell ref="B34:C35"/>
    <mergeCell ref="D34:D35"/>
    <mergeCell ref="D36:D3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63"/>
    <col customWidth="1" min="3" max="3" width="21.13"/>
    <col customWidth="1" min="4" max="4" width="21.0"/>
  </cols>
  <sheetData>
    <row r="1" ht="9.75" customHeight="1">
      <c r="A1" s="1"/>
      <c r="B1" s="2"/>
      <c r="C1" s="2"/>
      <c r="D1" s="3"/>
    </row>
    <row r="2">
      <c r="A2" s="4"/>
      <c r="D2" s="5"/>
    </row>
    <row r="3">
      <c r="A3" s="4"/>
      <c r="D3" s="5"/>
    </row>
    <row r="4">
      <c r="A4" s="4"/>
      <c r="D4" s="5"/>
    </row>
    <row r="5">
      <c r="A5" s="4"/>
      <c r="D5" s="5"/>
    </row>
    <row r="6">
      <c r="A6" s="4"/>
      <c r="D6" s="5"/>
    </row>
    <row r="7">
      <c r="A7" s="4"/>
      <c r="D7" s="5"/>
    </row>
    <row r="8">
      <c r="A8" s="4"/>
      <c r="D8" s="5"/>
    </row>
    <row r="9" ht="21.75" customHeight="1">
      <c r="A9" s="4"/>
      <c r="D9" s="5"/>
      <c r="F9" s="6"/>
    </row>
    <row r="10" ht="11.25" customHeight="1">
      <c r="A10" s="7"/>
      <c r="B10" s="8"/>
      <c r="C10" s="8"/>
      <c r="D10" s="9"/>
    </row>
    <row r="11">
      <c r="A11" s="10" t="s">
        <v>0</v>
      </c>
      <c r="B11" s="2"/>
      <c r="C11" s="2"/>
      <c r="D11" s="3"/>
      <c r="F11" s="11"/>
    </row>
    <row r="12">
      <c r="A12" s="4"/>
      <c r="D12" s="5"/>
    </row>
    <row r="13" ht="9.75" customHeight="1">
      <c r="A13" s="7"/>
      <c r="B13" s="8"/>
      <c r="C13" s="8"/>
      <c r="D13" s="9"/>
    </row>
    <row r="14" ht="5.25" customHeight="1"/>
    <row r="15">
      <c r="A15" s="12" t="s">
        <v>1</v>
      </c>
      <c r="B15" s="13" t="s">
        <v>2</v>
      </c>
      <c r="C15" s="13" t="s">
        <v>3</v>
      </c>
      <c r="D15" s="12" t="s">
        <v>4</v>
      </c>
    </row>
    <row r="16" ht="17.25" customHeight="1">
      <c r="A16" s="14"/>
      <c r="B16" s="14"/>
      <c r="C16" s="14"/>
      <c r="D16" s="14"/>
    </row>
    <row r="17" ht="7.5" customHeight="1"/>
    <row r="18">
      <c r="A18" s="15" t="s">
        <v>5</v>
      </c>
      <c r="B18" s="16">
        <v>58.0</v>
      </c>
      <c r="C18" s="16">
        <v>10.0</v>
      </c>
      <c r="D18" s="16">
        <v>67.0</v>
      </c>
    </row>
    <row r="19" ht="15.0" customHeight="1">
      <c r="A19" s="14"/>
      <c r="B19" s="14"/>
      <c r="C19" s="14"/>
      <c r="D19" s="14"/>
    </row>
    <row r="20" ht="19.5" customHeight="1">
      <c r="A20" s="17" t="s">
        <v>6</v>
      </c>
      <c r="B20" s="18">
        <v>4.0</v>
      </c>
      <c r="C20" s="18">
        <v>1.0</v>
      </c>
      <c r="D20" s="18">
        <v>7.0</v>
      </c>
    </row>
    <row r="21" ht="20.25" customHeight="1">
      <c r="A21" s="14"/>
      <c r="B21" s="19">
        <f t="shared" ref="B21:D21" si="1">B20/B18</f>
        <v>0.06896551724</v>
      </c>
      <c r="C21" s="19">
        <f t="shared" si="1"/>
        <v>0.1</v>
      </c>
      <c r="D21" s="19">
        <f t="shared" si="1"/>
        <v>0.1044776119</v>
      </c>
    </row>
    <row r="22" ht="35.25" customHeight="1">
      <c r="A22" s="20" t="s">
        <v>7</v>
      </c>
      <c r="B22" s="21">
        <v>40840.0</v>
      </c>
      <c r="C22" s="21">
        <v>3570.0</v>
      </c>
      <c r="D22" s="21">
        <v>3500.0</v>
      </c>
    </row>
    <row r="23" ht="28.5" customHeight="1">
      <c r="A23" s="20" t="s">
        <v>8</v>
      </c>
      <c r="B23" s="22">
        <f>B22+C22</f>
        <v>44410</v>
      </c>
      <c r="C23" s="23"/>
      <c r="D23" s="24">
        <f>D22</f>
        <v>3500</v>
      </c>
    </row>
    <row r="24">
      <c r="A24" s="25" t="s">
        <v>9</v>
      </c>
      <c r="B24" s="26"/>
      <c r="C24" s="2"/>
      <c r="D24" s="3"/>
    </row>
    <row r="25" ht="1.5" customHeight="1">
      <c r="A25" s="14"/>
      <c r="B25" s="7"/>
      <c r="C25" s="8"/>
      <c r="D25" s="9"/>
    </row>
    <row r="26" ht="30.0" customHeight="1">
      <c r="A26" s="27" t="s">
        <v>10</v>
      </c>
      <c r="B26" s="28">
        <v>2.0</v>
      </c>
      <c r="C26" s="28">
        <v>0.0</v>
      </c>
      <c r="D26" s="28">
        <v>2.0</v>
      </c>
    </row>
    <row r="27" ht="27.0" customHeight="1">
      <c r="A27" s="14"/>
      <c r="B27" s="29">
        <f t="shared" ref="B27:D27" si="2">B26/B20</f>
        <v>0.5</v>
      </c>
      <c r="C27" s="29">
        <f t="shared" si="2"/>
        <v>0</v>
      </c>
      <c r="D27" s="29">
        <f t="shared" si="2"/>
        <v>0.2857142857</v>
      </c>
    </row>
    <row r="28" ht="27.75" customHeight="1">
      <c r="A28" s="15" t="s">
        <v>11</v>
      </c>
      <c r="B28" s="30"/>
      <c r="C28" s="31"/>
      <c r="D28" s="31"/>
    </row>
    <row r="29" ht="26.25" customHeight="1">
      <c r="A29" s="14"/>
      <c r="B29" s="32">
        <f t="shared" ref="B29:D29" si="3">B28/B20</f>
        <v>0</v>
      </c>
      <c r="C29" s="32">
        <f t="shared" si="3"/>
        <v>0</v>
      </c>
      <c r="D29" s="32">
        <f t="shared" si="3"/>
        <v>0</v>
      </c>
    </row>
    <row r="30" ht="27.75" customHeight="1">
      <c r="A30" s="27" t="s">
        <v>12</v>
      </c>
      <c r="B30" s="28">
        <v>1.0</v>
      </c>
      <c r="C30" s="28">
        <v>0.0</v>
      </c>
      <c r="D30" s="28">
        <v>4.0</v>
      </c>
    </row>
    <row r="31" ht="26.25" customHeight="1">
      <c r="A31" s="14"/>
      <c r="B31" s="29">
        <f t="shared" ref="B31:D31" si="4">B30/B20</f>
        <v>0.25</v>
      </c>
      <c r="C31" s="29">
        <f t="shared" si="4"/>
        <v>0</v>
      </c>
      <c r="D31" s="29">
        <f t="shared" si="4"/>
        <v>0.5714285714</v>
      </c>
    </row>
    <row r="32" ht="30.75" customHeight="1">
      <c r="A32" s="15" t="s">
        <v>13</v>
      </c>
      <c r="B32" s="30">
        <v>1.0</v>
      </c>
      <c r="C32" s="30">
        <v>1.0</v>
      </c>
      <c r="D32" s="30">
        <v>1.0</v>
      </c>
    </row>
    <row r="33" ht="27.75" customHeight="1">
      <c r="A33" s="14"/>
      <c r="B33" s="32">
        <f t="shared" ref="B33:D33" si="5">B32/B20</f>
        <v>0.25</v>
      </c>
      <c r="C33" s="32">
        <f t="shared" si="5"/>
        <v>1</v>
      </c>
      <c r="D33" s="32">
        <f t="shared" si="5"/>
        <v>0.1428571429</v>
      </c>
    </row>
    <row r="34" ht="23.25" customHeight="1">
      <c r="A34" s="27" t="s">
        <v>14</v>
      </c>
      <c r="B34" s="33">
        <v>1117.94</v>
      </c>
      <c r="C34" s="3"/>
      <c r="D34" s="34">
        <v>746.99</v>
      </c>
    </row>
    <row r="35" ht="11.25" customHeight="1">
      <c r="A35" s="14"/>
      <c r="B35" s="7"/>
      <c r="C35" s="9"/>
      <c r="D35" s="14"/>
    </row>
    <row r="36">
      <c r="A36" s="15" t="s">
        <v>15</v>
      </c>
      <c r="B36" s="35">
        <v>911.0</v>
      </c>
      <c r="C36" s="3"/>
      <c r="D36" s="36">
        <v>459.0</v>
      </c>
    </row>
    <row r="37" ht="15.75" customHeight="1">
      <c r="A37" s="14"/>
      <c r="B37" s="7"/>
      <c r="C37" s="9"/>
      <c r="D37" s="14"/>
    </row>
    <row r="38" ht="19.5" customHeight="1">
      <c r="A38" s="37" t="s">
        <v>16</v>
      </c>
      <c r="B38" s="38">
        <f>B36+B34</f>
        <v>2028.94</v>
      </c>
      <c r="C38" s="23"/>
      <c r="D38" s="39">
        <f>D36+D34</f>
        <v>1205.99</v>
      </c>
    </row>
    <row r="39">
      <c r="A39" s="27" t="s">
        <v>17</v>
      </c>
      <c r="B39" s="40">
        <f>B23:C23/B38:C38</f>
        <v>21.88827664</v>
      </c>
      <c r="C39" s="3"/>
      <c r="D39" s="41">
        <f>D23/D38</f>
        <v>2.902179952</v>
      </c>
    </row>
    <row r="40" ht="14.25" customHeight="1">
      <c r="A40" s="14"/>
      <c r="B40" s="7"/>
      <c r="C40" s="9"/>
      <c r="D40" s="14"/>
    </row>
    <row r="51" ht="20.25" customHeight="1"/>
  </sheetData>
  <mergeCells count="28">
    <mergeCell ref="A1:D10"/>
    <mergeCell ref="A11:D13"/>
    <mergeCell ref="A15:A16"/>
    <mergeCell ref="B15:B16"/>
    <mergeCell ref="C15:C16"/>
    <mergeCell ref="D15:D16"/>
    <mergeCell ref="D18:D19"/>
    <mergeCell ref="A34:A35"/>
    <mergeCell ref="A36:A37"/>
    <mergeCell ref="A39:A40"/>
    <mergeCell ref="A18:A19"/>
    <mergeCell ref="A20:A21"/>
    <mergeCell ref="A24:A25"/>
    <mergeCell ref="A26:A27"/>
    <mergeCell ref="A28:A29"/>
    <mergeCell ref="A30:A31"/>
    <mergeCell ref="A32:A33"/>
    <mergeCell ref="B36:C37"/>
    <mergeCell ref="B38:C38"/>
    <mergeCell ref="B39:C40"/>
    <mergeCell ref="D39:D40"/>
    <mergeCell ref="B18:B19"/>
    <mergeCell ref="C18:C19"/>
    <mergeCell ref="B23:C23"/>
    <mergeCell ref="B24:D25"/>
    <mergeCell ref="B34:C35"/>
    <mergeCell ref="D34:D35"/>
    <mergeCell ref="D36:D3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63"/>
    <col customWidth="1" min="3" max="3" width="21.13"/>
    <col customWidth="1" min="4" max="4" width="21.0"/>
  </cols>
  <sheetData>
    <row r="1" ht="9.75" customHeight="1">
      <c r="A1" s="1"/>
      <c r="B1" s="2"/>
      <c r="C1" s="2"/>
      <c r="D1" s="3"/>
    </row>
    <row r="2">
      <c r="A2" s="4"/>
      <c r="D2" s="5"/>
    </row>
    <row r="3">
      <c r="A3" s="4"/>
      <c r="D3" s="5"/>
    </row>
    <row r="4">
      <c r="A4" s="4"/>
      <c r="D4" s="5"/>
    </row>
    <row r="5">
      <c r="A5" s="4"/>
      <c r="D5" s="5"/>
    </row>
    <row r="6">
      <c r="A6" s="4"/>
      <c r="D6" s="5"/>
    </row>
    <row r="7">
      <c r="A7" s="4"/>
      <c r="D7" s="5"/>
    </row>
    <row r="8">
      <c r="A8" s="4"/>
      <c r="D8" s="5"/>
    </row>
    <row r="9" ht="21.75" customHeight="1">
      <c r="A9" s="4"/>
      <c r="D9" s="5"/>
      <c r="F9" s="6"/>
    </row>
    <row r="10" ht="11.25" customHeight="1">
      <c r="A10" s="7"/>
      <c r="B10" s="8"/>
      <c r="C10" s="8"/>
      <c r="D10" s="9"/>
    </row>
    <row r="11">
      <c r="A11" s="10" t="s">
        <v>0</v>
      </c>
      <c r="B11" s="2"/>
      <c r="C11" s="2"/>
      <c r="D11" s="3"/>
      <c r="F11" s="11"/>
    </row>
    <row r="12">
      <c r="A12" s="4"/>
      <c r="D12" s="5"/>
    </row>
    <row r="13" ht="9.75" customHeight="1">
      <c r="A13" s="7"/>
      <c r="B13" s="8"/>
      <c r="C13" s="8"/>
      <c r="D13" s="9"/>
    </row>
    <row r="14" ht="5.25" customHeight="1"/>
    <row r="15">
      <c r="A15" s="12" t="s">
        <v>1</v>
      </c>
      <c r="B15" s="13" t="s">
        <v>2</v>
      </c>
      <c r="C15" s="13" t="s">
        <v>3</v>
      </c>
      <c r="D15" s="12" t="s">
        <v>4</v>
      </c>
    </row>
    <row r="16" ht="17.25" customHeight="1">
      <c r="A16" s="14"/>
      <c r="B16" s="14"/>
      <c r="C16" s="14"/>
      <c r="D16" s="14"/>
    </row>
    <row r="17" ht="7.5" customHeight="1"/>
    <row r="18">
      <c r="A18" s="15" t="s">
        <v>5</v>
      </c>
      <c r="B18" s="16">
        <v>0.0</v>
      </c>
      <c r="C18" s="16">
        <v>0.0</v>
      </c>
      <c r="D18" s="16">
        <v>0.0</v>
      </c>
    </row>
    <row r="19" ht="15.0" customHeight="1">
      <c r="A19" s="14"/>
      <c r="B19" s="14"/>
      <c r="C19" s="14"/>
      <c r="D19" s="14"/>
    </row>
    <row r="20" ht="19.5" customHeight="1">
      <c r="A20" s="17" t="s">
        <v>6</v>
      </c>
      <c r="B20" s="18">
        <v>0.0</v>
      </c>
      <c r="C20" s="18">
        <v>0.0</v>
      </c>
      <c r="D20" s="18">
        <v>0.0</v>
      </c>
    </row>
    <row r="21" ht="20.25" customHeight="1">
      <c r="A21" s="14"/>
      <c r="B21" s="19" t="str">
        <f t="shared" ref="B21:D21" si="1">B20/B18</f>
        <v>#DIV/0!</v>
      </c>
      <c r="C21" s="19" t="str">
        <f t="shared" si="1"/>
        <v>#DIV/0!</v>
      </c>
      <c r="D21" s="19" t="str">
        <f t="shared" si="1"/>
        <v>#DIV/0!</v>
      </c>
    </row>
    <row r="22" ht="35.25" customHeight="1">
      <c r="A22" s="20" t="s">
        <v>7</v>
      </c>
      <c r="B22" s="21">
        <v>0.0</v>
      </c>
      <c r="C22" s="21">
        <v>0.0</v>
      </c>
      <c r="D22" s="21">
        <v>0.0</v>
      </c>
    </row>
    <row r="23" ht="28.5" customHeight="1">
      <c r="A23" s="20" t="s">
        <v>8</v>
      </c>
      <c r="B23" s="22">
        <f>B22+C22</f>
        <v>0</v>
      </c>
      <c r="C23" s="23"/>
      <c r="D23" s="24">
        <f>D22</f>
        <v>0</v>
      </c>
    </row>
    <row r="24">
      <c r="A24" s="25" t="s">
        <v>9</v>
      </c>
      <c r="B24" s="26"/>
      <c r="C24" s="2"/>
      <c r="D24" s="3"/>
    </row>
    <row r="25" ht="1.5" customHeight="1">
      <c r="A25" s="14"/>
      <c r="B25" s="7"/>
      <c r="C25" s="8"/>
      <c r="D25" s="9"/>
    </row>
    <row r="26" ht="30.0" customHeight="1">
      <c r="A26" s="27" t="s">
        <v>10</v>
      </c>
      <c r="B26" s="28">
        <v>0.0</v>
      </c>
      <c r="C26" s="28">
        <v>0.0</v>
      </c>
      <c r="D26" s="28">
        <v>0.0</v>
      </c>
    </row>
    <row r="27" ht="27.0" customHeight="1">
      <c r="A27" s="14"/>
      <c r="B27" s="29" t="str">
        <f t="shared" ref="B27:D27" si="2">B26/B20</f>
        <v>#DIV/0!</v>
      </c>
      <c r="C27" s="29" t="str">
        <f t="shared" si="2"/>
        <v>#DIV/0!</v>
      </c>
      <c r="D27" s="29" t="str">
        <f t="shared" si="2"/>
        <v>#DIV/0!</v>
      </c>
    </row>
    <row r="28" ht="27.75" customHeight="1">
      <c r="A28" s="15" t="s">
        <v>11</v>
      </c>
      <c r="B28" s="30">
        <v>0.0</v>
      </c>
      <c r="C28" s="30">
        <v>0.0</v>
      </c>
      <c r="D28" s="30">
        <v>0.0</v>
      </c>
    </row>
    <row r="29" ht="26.25" customHeight="1">
      <c r="A29" s="14"/>
      <c r="B29" s="32" t="str">
        <f t="shared" ref="B29:D29" si="3">B28/B20</f>
        <v>#DIV/0!</v>
      </c>
      <c r="C29" s="32" t="str">
        <f t="shared" si="3"/>
        <v>#DIV/0!</v>
      </c>
      <c r="D29" s="32" t="str">
        <f t="shared" si="3"/>
        <v>#DIV/0!</v>
      </c>
    </row>
    <row r="30" ht="27.75" customHeight="1">
      <c r="A30" s="27" t="s">
        <v>12</v>
      </c>
      <c r="B30" s="28">
        <v>0.0</v>
      </c>
      <c r="C30" s="28">
        <v>0.0</v>
      </c>
      <c r="D30" s="28">
        <v>0.0</v>
      </c>
    </row>
    <row r="31" ht="26.25" customHeight="1">
      <c r="A31" s="14"/>
      <c r="B31" s="29" t="str">
        <f t="shared" ref="B31:D31" si="4">B30/B20</f>
        <v>#DIV/0!</v>
      </c>
      <c r="C31" s="29" t="str">
        <f t="shared" si="4"/>
        <v>#DIV/0!</v>
      </c>
      <c r="D31" s="29" t="str">
        <f t="shared" si="4"/>
        <v>#DIV/0!</v>
      </c>
    </row>
    <row r="32" ht="30.75" customHeight="1">
      <c r="A32" s="15" t="s">
        <v>13</v>
      </c>
      <c r="B32" s="30">
        <v>0.0</v>
      </c>
      <c r="C32" s="30">
        <v>0.0</v>
      </c>
      <c r="D32" s="30">
        <v>0.0</v>
      </c>
    </row>
    <row r="33" ht="27.75" customHeight="1">
      <c r="A33" s="14"/>
      <c r="B33" s="32" t="str">
        <f t="shared" ref="B33:D33" si="5">B32/B20</f>
        <v>#DIV/0!</v>
      </c>
      <c r="C33" s="32" t="str">
        <f t="shared" si="5"/>
        <v>#DIV/0!</v>
      </c>
      <c r="D33" s="32" t="str">
        <f t="shared" si="5"/>
        <v>#DIV/0!</v>
      </c>
    </row>
    <row r="34" ht="23.25" customHeight="1">
      <c r="A34" s="27" t="s">
        <v>14</v>
      </c>
      <c r="B34" s="33">
        <v>0.0</v>
      </c>
      <c r="C34" s="3"/>
      <c r="D34" s="34">
        <v>0.0</v>
      </c>
    </row>
    <row r="35" ht="11.25" customHeight="1">
      <c r="A35" s="14"/>
      <c r="B35" s="7"/>
      <c r="C35" s="9"/>
      <c r="D35" s="14"/>
    </row>
    <row r="36">
      <c r="A36" s="15" t="s">
        <v>15</v>
      </c>
      <c r="B36" s="35">
        <v>0.0</v>
      </c>
      <c r="C36" s="3"/>
      <c r="D36" s="36">
        <v>0.0</v>
      </c>
    </row>
    <row r="37" ht="15.75" customHeight="1">
      <c r="A37" s="14"/>
      <c r="B37" s="7"/>
      <c r="C37" s="9"/>
      <c r="D37" s="14"/>
    </row>
    <row r="38" ht="19.5" customHeight="1">
      <c r="A38" s="37" t="s">
        <v>16</v>
      </c>
      <c r="B38" s="38">
        <f>B36+B34</f>
        <v>0</v>
      </c>
      <c r="C38" s="23"/>
      <c r="D38" s="39">
        <f>D36+D34</f>
        <v>0</v>
      </c>
    </row>
    <row r="39">
      <c r="A39" s="27" t="s">
        <v>17</v>
      </c>
      <c r="B39" s="40" t="str">
        <f>B23:C23/B38:C38</f>
        <v>#DIV/0!</v>
      </c>
      <c r="C39" s="3"/>
      <c r="D39" s="41" t="str">
        <f>D23/D38</f>
        <v>#DIV/0!</v>
      </c>
    </row>
    <row r="40" ht="14.25" customHeight="1">
      <c r="A40" s="14"/>
      <c r="B40" s="7"/>
      <c r="C40" s="9"/>
      <c r="D40" s="14"/>
    </row>
    <row r="51" ht="20.25" customHeight="1"/>
  </sheetData>
  <mergeCells count="28">
    <mergeCell ref="A1:D10"/>
    <mergeCell ref="A11:D13"/>
    <mergeCell ref="A15:A16"/>
    <mergeCell ref="B15:B16"/>
    <mergeCell ref="C15:C16"/>
    <mergeCell ref="D15:D16"/>
    <mergeCell ref="D18:D19"/>
    <mergeCell ref="A34:A35"/>
    <mergeCell ref="A36:A37"/>
    <mergeCell ref="A39:A40"/>
    <mergeCell ref="A18:A19"/>
    <mergeCell ref="A20:A21"/>
    <mergeCell ref="A24:A25"/>
    <mergeCell ref="A26:A27"/>
    <mergeCell ref="A28:A29"/>
    <mergeCell ref="A30:A31"/>
    <mergeCell ref="A32:A33"/>
    <mergeCell ref="B36:C37"/>
    <mergeCell ref="B38:C38"/>
    <mergeCell ref="B39:C40"/>
    <mergeCell ref="D39:D40"/>
    <mergeCell ref="B18:B19"/>
    <mergeCell ref="C18:C19"/>
    <mergeCell ref="B23:C23"/>
    <mergeCell ref="B24:D25"/>
    <mergeCell ref="B34:C35"/>
    <mergeCell ref="D34:D35"/>
    <mergeCell ref="D36:D3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